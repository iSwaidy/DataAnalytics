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waid\Documents\DataAnalytics\week-01\"/>
    </mc:Choice>
  </mc:AlternateContent>
  <xr:revisionPtr revIDLastSave="0" documentId="13_ncr:1_{F9E70875-3C3E-4D63-A617-101047FE8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3" i="1"/>
  <c r="R4" i="1"/>
  <c r="S3" i="1"/>
  <c r="S4" i="1"/>
  <c r="S5" i="1"/>
  <c r="S6" i="1"/>
  <c r="S2" i="1"/>
  <c r="R2" i="1"/>
  <c r="P5" i="1"/>
  <c r="Q5" i="1" s="1"/>
  <c r="P4" i="1"/>
  <c r="Q4" i="1" s="1"/>
  <c r="P3" i="1"/>
  <c r="Q3" i="1" s="1"/>
  <c r="P2" i="1"/>
  <c r="Q2" i="1" s="1"/>
  <c r="D2" i="1"/>
  <c r="D3" i="1"/>
  <c r="D4" i="1"/>
  <c r="D5" i="1"/>
  <c r="D6" i="1"/>
  <c r="D7" i="1"/>
  <c r="D8" i="1"/>
  <c r="D9" i="1"/>
  <c r="D10" i="1" l="1"/>
</calcChain>
</file>

<file path=xl/sharedStrings.xml><?xml version="1.0" encoding="utf-8"?>
<sst xmlns="http://schemas.openxmlformats.org/spreadsheetml/2006/main" count="107" uniqueCount="59">
  <si>
    <t>ID</t>
  </si>
  <si>
    <t>Start time</t>
  </si>
  <si>
    <t>Completion time</t>
  </si>
  <si>
    <t>Email</t>
  </si>
  <si>
    <t>Name</t>
  </si>
  <si>
    <t>Last modified time</t>
  </si>
  <si>
    <t>How often do you visit Lidios Cafe + Flowers?</t>
  </si>
  <si>
    <t>What do you usually order? (select all that apply — use Checkbox type)</t>
  </si>
  <si>
    <t>How would you rate your experience today overall?</t>
  </si>
  <si>
    <t>How would you rate the atmosphere and vibe of the space?</t>
  </si>
  <si>
    <t>What brings you to Lidios most? (pick one)</t>
  </si>
  <si>
    <t>What would you most want from a Lidios loyalty program?</t>
  </si>
  <si>
    <t>How did you first hear about Lidios?</t>
  </si>
  <si>
    <t>Is there anything you'd love to see at Lidios — a new drink, a special event, or anything else?</t>
  </si>
  <si>
    <t>anonymous</t>
  </si>
  <si>
    <t>Multiple times a week</t>
  </si>
  <si>
    <t>Coffee /  Espresso Drink;Pastry or Baked Good;</t>
  </si>
  <si>
    <t>Excellent</t>
  </si>
  <si>
    <t>Cozy Environment</t>
  </si>
  <si>
    <t>Free Drinks after X visits</t>
  </si>
  <si>
    <t>Word of Mouth</t>
  </si>
  <si>
    <t>Would love a seasonal fall drink menu, maybe a pumpkin spice latte with your own twist on it!</t>
  </si>
  <si>
    <t>This is my first time</t>
  </si>
  <si>
    <t>Ice Latte or Cold Drink;</t>
  </si>
  <si>
    <t>Very good</t>
  </si>
  <si>
    <t>Drinks</t>
  </si>
  <si>
    <t>Birthday Reward</t>
  </si>
  <si>
    <t>Instagram / Social Media</t>
  </si>
  <si>
    <t>The aesthetic is amazing, would love to see more seating options outside</t>
  </si>
  <si>
    <t>A few times a month</t>
  </si>
  <si>
    <t>Floral Arrangement;Just Browsing Flower;</t>
  </si>
  <si>
    <t>Flowers</t>
  </si>
  <si>
    <t>Discount on floral arrangements</t>
  </si>
  <si>
    <t>Just Walked By</t>
  </si>
  <si>
    <t>Would love pre-made bouquet bundles at different price points for last minute gifts</t>
  </si>
  <si>
    <t>Once A Week</t>
  </si>
  <si>
    <t>Good</t>
  </si>
  <si>
    <t>All of the above</t>
  </si>
  <si>
    <t>Bundle Deals</t>
  </si>
  <si>
    <t>Google</t>
  </si>
  <si>
    <t>Maybe a monthly study night or work event would be cool, love the wifi here</t>
  </si>
  <si>
    <t>Ice Latte or Cold Drink;Pastry or Baked Good;</t>
  </si>
  <si>
    <t>It's Close to Me</t>
  </si>
  <si>
    <t>Everything is great, just wish you were open on Mondays!</t>
  </si>
  <si>
    <t>Coffee /  Espresso Drink;Ice Latte or Cold Drink;</t>
  </si>
  <si>
    <t>Early access to seasonal specials</t>
  </si>
  <si>
    <t>A lavender honey latte would be incredible, please make it happen</t>
  </si>
  <si>
    <t>Floral Arrangement;Coffee /  Espresso Drink;</t>
  </si>
  <si>
    <t>Would love to book private events here, the space is perfect for baby showers or birthdays</t>
  </si>
  <si>
    <t>Just Browsing Flower;</t>
  </si>
  <si>
    <t>Didn't get a drink this time but the space made me want to come back and try one</t>
  </si>
  <si>
    <t>Column1</t>
  </si>
  <si>
    <t>Time To Complete</t>
  </si>
  <si>
    <t>Visit Frequency Summary</t>
  </si>
  <si>
    <t>Column2</t>
  </si>
  <si>
    <t>Loyalty Program Summary</t>
  </si>
  <si>
    <t>Row Labels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</si>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</sst>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[Ex5B_survey_results.xlsx]Sheet1!PivotTable2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Visit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Sheet1!$D$17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Sheet1!$C$18:$C$22</c:f>
              <c:strCache>
                <c:ptCount val="4"/>
                <c:pt idx="0">
                  <c:v>A few times a month</c:v>
                </c:pt>
                <c:pt idx="1">
                  <c:v>Multiple times a week</c:v>
                </c:pt>
                <c:pt idx="2">
                  <c:v>Once A Week</c:v>
                </c:pt>
                <c:pt idx="3">
                  <c:v>This is my first time</c:v>
                </c:pt>
              </c:strCache>
            </c:strRef>
          </c:cat>
          <c:val>
            <c:numRef>
              <c:f>Sheet1!$D$18:$D$22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2-4297-B203-468EFFAFC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[Ex5B_survey_results.xlsx]Sheet1!PivotTable3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Loyalty Program Preferences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Sheet1!$J$17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Sheet1!$I$18:$I$23</c:f>
              <c:strCache>
                <c:ptCount val="5"/>
                <c:pt idx="0">
                  <c:v>Birthday Reward</c:v>
                </c:pt>
                <c:pt idx="1">
                  <c:v>Bundle Deals</c:v>
                </c:pt>
                <c:pt idx="2">
                  <c:v>Discount on floral arrangements</c:v>
                </c:pt>
                <c:pt idx="3">
                  <c:v>Early access to seasonal specials</c:v>
                </c:pt>
                <c:pt idx="4">
                  <c:v>Free Drinks after X visits</c:v>
                </c:pt>
              </c:strCache>
            </c:strRef>
          </c:cat>
          <c:val>
            <c:numRef>
              <c:f>Sheet1!$J$18:$J$23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B-4694-83E7-73FF3F4C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395741</xdr:colOff>
      <xdr:row>23</xdr:row>
      <xdr:rowOff>28802</xdr:rowOff>
    </xdr:from>
    <xdr:to>
      <xdr:col>4</xdr:col>
      <xdr:colOff>590777</xdr:colOff>
      <xdr:row>37</xdr:row>
      <xdr:rowOff>73252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ACC5B-B178-CB1D-FDA2-1EBE51D49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3967616</xdr:colOff>
      <xdr:row>24</xdr:row>
      <xdr:rowOff>142194</xdr:rowOff>
    </xdr:from>
    <xdr:to>
      <xdr:col>11</xdr:col>
      <xdr:colOff>295955</xdr:colOff>
      <xdr:row>38</xdr:row>
      <xdr:rowOff>186644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276E6-867C-36A4-938A-59A295BF6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Santamaria" refreshedDate="46124.740111226849" createdVersion="8" refreshedVersion="8" minRefreshableVersion="3" recordCount="8" xr:uid="{062E2D54-3C06-4605-9BC9-999A1B39F9F5}">
  <cacheSource type="worksheet">
    <worksheetSource name="Table1"/>
  </cacheSource>
  <cacheFields count="19">
    <cacheField name="ID" numFmtId="0">
      <sharedItems containsSemiMixedTypes="0" containsString="0" containsNumber="1" containsInteger="1" minValue="1" maxValue="8"/>
    </cacheField>
    <cacheField name="Start time" numFmtId="165">
      <sharedItems containsSemiMixedTypes="0" containsNonDate="0" containsDate="1" containsString="0" minDate="2026-04-11T02:49:20" maxDate="2026-04-11T02:54:11"/>
    </cacheField>
    <cacheField name="Completion time" numFmtId="165">
      <sharedItems containsSemiMixedTypes="0" containsNonDate="0" containsDate="1" containsString="0" minDate="2026-04-11T02:50:13" maxDate="2026-04-11T02:55:17"/>
    </cacheField>
    <cacheField name="Time To Complete" numFmtId="45">
      <sharedItems containsSemiMixedTypes="0" containsNonDate="0" containsDate="1" containsString="0" minDate="1899-12-30T00:00:25" maxDate="1899-12-30T00:01:06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How often do you visit Lidios Cafe + Flowers?" numFmtId="0">
      <sharedItems count="4">
        <s v="Multiple times a week"/>
        <s v="This is my first time"/>
        <s v="A few times a month"/>
        <s v="Once A Week"/>
      </sharedItems>
    </cacheField>
    <cacheField name="What do you usually order? (select all that apply — use Checkbox type)" numFmtId="0">
      <sharedItems/>
    </cacheField>
    <cacheField name="How would you rate your experience today overall?" numFmtId="0">
      <sharedItems/>
    </cacheField>
    <cacheField name="How would you rate the atmosphere and vibe of the space?" numFmtId="0">
      <sharedItems/>
    </cacheField>
    <cacheField name="What brings you to Lidios most? (pick one)" numFmtId="0">
      <sharedItems/>
    </cacheField>
    <cacheField name="What would you most want from a Lidios loyalty program?" numFmtId="0">
      <sharedItems count="5">
        <s v="Free Drinks after X visits"/>
        <s v="Birthday Reward"/>
        <s v="Discount on floral arrangements"/>
        <s v="Bundle Deals"/>
        <s v="Early access to seasonal specials"/>
      </sharedItems>
    </cacheField>
    <cacheField name="How did you first hear about Lidios?" numFmtId="0">
      <sharedItems/>
    </cacheField>
    <cacheField name="Is there anything you'd love to see at Lidios — a new drink, a special event, or anything else?" numFmtId="0">
      <sharedItems/>
    </cacheField>
    <cacheField name="Visit Frequency Summary" numFmtId="0">
      <sharedItems containsBlank="1"/>
    </cacheField>
    <cacheField name="Column1" numFmtId="0">
      <sharedItems containsString="0" containsBlank="1" containsNumber="1" containsInteger="1" minValue="1" maxValue="3"/>
    </cacheField>
    <cacheField name="Loyalty Program Summary" numFmtId="0">
      <sharedItems containsBlank="1"/>
    </cacheField>
    <cacheField name="Column2" numFmtId="0">
      <sharedItems containsString="0" containsBlank="1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4-11T02:49:20"/>
    <d v="2026-04-11T02:50:13"/>
    <d v="1899-12-30T00:00:53"/>
    <s v="anonymous"/>
    <m/>
    <m/>
    <x v="0"/>
    <s v="Coffee /  Espresso Drink;Pastry or Baked Good;"/>
    <s v="Excellent"/>
    <s v="Excellent"/>
    <s v="Cozy Environment"/>
    <x v="0"/>
    <s v="Word of Mouth"/>
    <s v="Would love a seasonal fall drink menu, maybe a pumpkin spice latte with your own twist on it!"/>
    <s v="Multiple times a week"/>
    <n v="2"/>
    <s v="Free Drinks after X visits"/>
    <n v="2"/>
  </r>
  <r>
    <n v="2"/>
    <d v="2026-04-11T02:50:31"/>
    <d v="2026-04-11T02:51:06"/>
    <d v="1899-12-30T00:00:35"/>
    <s v="anonymous"/>
    <m/>
    <m/>
    <x v="1"/>
    <s v="Ice Latte or Cold Drink;"/>
    <s v="Very good"/>
    <s v="Excellent"/>
    <s v="Drinks"/>
    <x v="1"/>
    <s v="Instagram / Social Media"/>
    <s v="The aesthetic is amazing, would love to see more seating options outside"/>
    <s v="This is my first time"/>
    <n v="2"/>
    <s v="Birthday Reward"/>
    <n v="1"/>
  </r>
  <r>
    <n v="3"/>
    <d v="2026-04-11T02:51:15"/>
    <d v="2026-04-11T02:51:51"/>
    <d v="1899-12-30T00:00:36"/>
    <s v="anonymous"/>
    <m/>
    <m/>
    <x v="2"/>
    <s v="Floral Arrangement;Just Browsing Flower;"/>
    <s v="Excellent"/>
    <s v="Excellent"/>
    <s v="Flowers"/>
    <x v="2"/>
    <s v="Just Walked By"/>
    <s v="Would love pre-made bouquet bundles at different price points for last minute gifts"/>
    <s v="A few times a month"/>
    <n v="3"/>
    <s v="Discount on floral arrangements"/>
    <n v="2"/>
  </r>
  <r>
    <n v="4"/>
    <d v="2026-04-11T02:51:56"/>
    <d v="2026-04-11T02:52:34"/>
    <d v="1899-12-30T00:00:38"/>
    <s v="anonymous"/>
    <m/>
    <m/>
    <x v="3"/>
    <s v="Coffee /  Espresso Drink;Pastry or Baked Good;"/>
    <s v="Very good"/>
    <s v="Good"/>
    <s v="All of the above"/>
    <x v="3"/>
    <s v="Google"/>
    <s v="Maybe a monthly study night or work event would be cool, love the wifi here"/>
    <s v="Once A Week"/>
    <n v="1"/>
    <s v="Bundle Deals"/>
    <n v="2"/>
  </r>
  <r>
    <n v="5"/>
    <d v="2026-04-11T02:52:54"/>
    <d v="2026-04-11T02:53:26"/>
    <d v="1899-12-30T00:00:32"/>
    <s v="anonymous"/>
    <m/>
    <m/>
    <x v="2"/>
    <s v="Ice Latte or Cold Drink;Pastry or Baked Good;"/>
    <s v="Very good"/>
    <s v="Good"/>
    <s v="It's Close to Me"/>
    <x v="0"/>
    <s v="Word of Mouth"/>
    <s v="Everything is great, just wish you were open on Mondays!"/>
    <m/>
    <m/>
    <s v="Early access to seasonal specials"/>
    <n v="1"/>
  </r>
  <r>
    <n v="6"/>
    <d v="2026-04-11T02:52:56"/>
    <d v="2026-04-11T02:53:58"/>
    <d v="1899-12-30T00:01:02"/>
    <s v="anonymous"/>
    <m/>
    <m/>
    <x v="0"/>
    <s v="Coffee /  Espresso Drink;Ice Latte or Cold Drink;"/>
    <s v="Excellent"/>
    <s v="Excellent"/>
    <s v="Drinks"/>
    <x v="4"/>
    <s v="Word of Mouth"/>
    <s v="A lavender honey latte would be incredible, please make it happen"/>
    <m/>
    <m/>
    <m/>
    <m/>
  </r>
  <r>
    <n v="7"/>
    <d v="2026-04-11T02:54:09"/>
    <d v="2026-04-11T02:54:34"/>
    <d v="1899-12-30T00:00:25"/>
    <s v="anonymous"/>
    <m/>
    <m/>
    <x v="2"/>
    <s v="Floral Arrangement;Coffee /  Espresso Drink;"/>
    <s v="Excellent"/>
    <s v="Excellent"/>
    <s v="All of the above"/>
    <x v="3"/>
    <s v="Instagram / Social Media"/>
    <s v="Would love to book private events here, the space is perfect for baby showers or birthdays"/>
    <m/>
    <m/>
    <m/>
    <m/>
  </r>
  <r>
    <n v="8"/>
    <d v="2026-04-11T02:54:11"/>
    <d v="2026-04-11T02:55:17"/>
    <d v="1899-12-30T00:01:06"/>
    <s v="anonymous"/>
    <m/>
    <m/>
    <x v="1"/>
    <s v="Just Browsing Flower;"/>
    <s v="Good"/>
    <s v="Good"/>
    <s v="Flowers"/>
    <x v="2"/>
    <s v="Just Walked By"/>
    <s v="Didn't get a drink this time but the space made me want to come back and try one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86535-51F3-4898-B56E-316ABB34CE8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7:J23" firstHeaderRow="1" firstDataRow="1" firstDataCol="1"/>
  <pivotFields count="19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29879-3786-4A6E-8186-D92468C9139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17:D22" firstHeaderRow="1" firstDataRow="1" firstDataCol="1"/>
  <pivotFields count="19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" totalsRowCount="1">
  <autoFilter ref="A1:S9" xr:uid="{00000000-0009-0000-0100-000001000000}"/>
  <tableColumns count="19">
    <tableColumn id="1" xr3:uid="{00000000-0010-0000-0000-000001000000}" name="ID" dataDxfId="33" totalsRowDxfId="14"/>
    <tableColumn id="2" xr3:uid="{00000000-0010-0000-0000-000002000000}" name="Start time" dataDxfId="32" totalsRowDxfId="13"/>
    <tableColumn id="3" xr3:uid="{00000000-0010-0000-0000-000003000000}" name="Completion time" dataDxfId="31" totalsRowDxfId="12"/>
    <tableColumn id="15" xr3:uid="{BA4911A0-6422-41D2-B956-4D17FC265857}" name="Time To Complete" totalsRowFunction="custom" dataDxfId="30" totalsRowDxfId="11">
      <calculatedColumnFormula>C2-B2</calculatedColumnFormula>
      <totalsRowFormula>AVERAGE(D2:D9)</totalsRowFormula>
    </tableColumn>
    <tableColumn id="4" xr3:uid="{00000000-0010-0000-0000-000004000000}" name="Email" dataDxfId="29" totalsRowDxfId="10"/>
    <tableColumn id="5" xr3:uid="{00000000-0010-0000-0000-000005000000}" name="Name" dataDxfId="28" totalsRowDxfId="9"/>
    <tableColumn id="6" xr3:uid="{00000000-0010-0000-0000-000006000000}" name="Last modified time" dataDxfId="27" totalsRowDxfId="8"/>
    <tableColumn id="7" xr3:uid="{00000000-0010-0000-0000-000007000000}" name="How often do you visit Lidios Cafe + Flowers?" dataDxfId="26" totalsRowDxfId="7"/>
    <tableColumn id="8" xr3:uid="{00000000-0010-0000-0000-000008000000}" name="What do you usually order? (select all that apply — use Checkbox type)" dataDxfId="25" totalsRowDxfId="6"/>
    <tableColumn id="9" xr3:uid="{00000000-0010-0000-0000-000009000000}" name="How would you rate your experience today overall?" dataDxfId="24" totalsRowDxfId="5"/>
    <tableColumn id="10" xr3:uid="{00000000-0010-0000-0000-00000A000000}" name="How would you rate the atmosphere and vibe of the space?" dataDxfId="23" totalsRowDxfId="4"/>
    <tableColumn id="11" xr3:uid="{00000000-0010-0000-0000-00000B000000}" name="What brings you to Lidios most? (pick one)" dataDxfId="22" totalsRowDxfId="3"/>
    <tableColumn id="12" xr3:uid="{00000000-0010-0000-0000-00000C000000}" name="What would you most want from a Lidios loyalty program?" dataDxfId="21" totalsRowDxfId="2"/>
    <tableColumn id="13" xr3:uid="{00000000-0010-0000-0000-00000D000000}" name="How did you first hear about Lidios?" dataDxfId="20" totalsRowDxfId="1"/>
    <tableColumn id="14" xr3:uid="{00000000-0010-0000-0000-00000E000000}" name="Is there anything you'd love to see at Lidios — a new drink, a special event, or anything else?" dataDxfId="19" totalsRowDxfId="0"/>
    <tableColumn id="16" xr3:uid="{F3370637-263E-481A-AE3E-FAE636D3DAF5}" name="Visit Frequency Summary" dataDxfId="18"/>
    <tableColumn id="18" xr3:uid="{4437C2CD-3ED8-494A-A9BA-AE5BC655F39F}" name="Column1" dataDxfId="17">
      <calculatedColumnFormula>COUNTIF(H:H,P2)</calculatedColumnFormula>
    </tableColumn>
    <tableColumn id="19" xr3:uid="{F56574E5-795F-4784-B3E2-05C5006B2679}" name="Loyalty Program Summary" dataDxfId="16">
      <calculatedColumnFormula>M2</calculatedColumnFormula>
    </tableColumn>
    <tableColumn id="20" xr3:uid="{B6FEAD84-6425-4927-843E-F428FEE62AB6}" name="Column2" dataDxfId="15">
      <calculatedColumnFormula>COUNTIF(M:M,R2)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84" zoomScaleNormal="84" workbookViewId="0">
      <selection activeCell="I17" sqref="I17:J23"/>
    </sheetView>
  </sheetViews>
  <sheetFormatPr defaultRowHeight="15"/>
  <cols>
    <col min="1" max="1" width="10.85546875" bestFit="1" customWidth="1"/>
    <col min="2" max="2" width="21.28515625" style="2" bestFit="1" customWidth="1"/>
    <col min="3" max="3" width="22.5703125" bestFit="1" customWidth="1"/>
    <col min="4" max="4" width="10.85546875" bestFit="1" customWidth="1"/>
    <col min="5" max="5" width="15.140625" bestFit="1" customWidth="1"/>
    <col min="6" max="6" width="14.42578125" bestFit="1" customWidth="1"/>
    <col min="7" max="7" width="32.28515625" bestFit="1" customWidth="1"/>
    <col min="8" max="8" width="69.140625" customWidth="1"/>
    <col min="9" max="9" width="33" bestFit="1" customWidth="1"/>
    <col min="10" max="10" width="10.85546875" bestFit="1" customWidth="1"/>
    <col min="11" max="11" width="10.5703125" bestFit="1" customWidth="1"/>
    <col min="12" max="12" width="64.42578125" bestFit="1" customWidth="1"/>
    <col min="13" max="13" width="84.42578125" bestFit="1" customWidth="1"/>
    <col min="14" max="14" width="56.5703125" bestFit="1" customWidth="1"/>
    <col min="15" max="15" width="133.42578125" bestFit="1" customWidth="1"/>
    <col min="16" max="16" width="26.140625" bestFit="1" customWidth="1"/>
    <col min="17" max="17" width="11.140625" bestFit="1" customWidth="1"/>
    <col min="18" max="18" width="33" bestFit="1" customWidth="1"/>
    <col min="19" max="19" width="11.140625" bestFit="1" customWidth="1"/>
  </cols>
  <sheetData>
    <row r="1" spans="1:19">
      <c r="A1" t="s">
        <v>0</v>
      </c>
      <c r="B1" s="2" t="s">
        <v>1</v>
      </c>
      <c r="C1" t="s">
        <v>2</v>
      </c>
      <c r="D1" t="s">
        <v>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53</v>
      </c>
      <c r="Q1" t="s">
        <v>51</v>
      </c>
      <c r="R1" t="s">
        <v>55</v>
      </c>
      <c r="S1" t="s">
        <v>54</v>
      </c>
    </row>
    <row r="2" spans="1:19">
      <c r="A2">
        <v>1</v>
      </c>
      <c r="B2" s="2">
        <v>46123.1175925926</v>
      </c>
      <c r="C2" s="2">
        <v>46123.118206018502</v>
      </c>
      <c r="D2" s="3">
        <f t="shared" ref="D2:D9" si="0">C2-B2</f>
        <v>6.1342590197455138E-4</v>
      </c>
      <c r="E2" t="s">
        <v>14</v>
      </c>
      <c r="G2" s="1"/>
      <c r="H2" t="s">
        <v>15</v>
      </c>
      <c r="I2" t="s">
        <v>16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s="4" t="str">
        <f>H2</f>
        <v>Multiple times a week</v>
      </c>
      <c r="Q2" s="4">
        <f t="shared" ref="Q2:Q9" si="1">COUNTIF(H:H,P2)</f>
        <v>2</v>
      </c>
      <c r="R2" s="4" t="str">
        <f>M2</f>
        <v>Free Drinks after X visits</v>
      </c>
      <c r="S2" s="4">
        <f t="shared" ref="S2:S9" si="2">COUNTIF(M:M,R2)</f>
        <v>2</v>
      </c>
    </row>
    <row r="3" spans="1:19">
      <c r="A3">
        <v>2</v>
      </c>
      <c r="B3" s="2">
        <v>46123.118414351797</v>
      </c>
      <c r="C3" s="2">
        <v>46123.118819444397</v>
      </c>
      <c r="D3" s="3">
        <f t="shared" si="0"/>
        <v>4.0509259997634217E-4</v>
      </c>
      <c r="E3" t="s">
        <v>14</v>
      </c>
      <c r="G3" s="1"/>
      <c r="H3" t="s">
        <v>22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27</v>
      </c>
      <c r="O3" t="s">
        <v>28</v>
      </c>
      <c r="P3" s="5" t="str">
        <f>H3</f>
        <v>This is my first time</v>
      </c>
      <c r="Q3" s="4">
        <f t="shared" si="1"/>
        <v>2</v>
      </c>
      <c r="R3" s="4" t="str">
        <f t="shared" ref="R3:R5" si="3">M3</f>
        <v>Birthday Reward</v>
      </c>
      <c r="S3" s="4">
        <f t="shared" si="2"/>
        <v>1</v>
      </c>
    </row>
    <row r="4" spans="1:19">
      <c r="A4">
        <v>3</v>
      </c>
      <c r="B4" s="2">
        <v>46123.118923611102</v>
      </c>
      <c r="C4" s="2">
        <v>46123.119340277801</v>
      </c>
      <c r="D4" s="3">
        <f t="shared" si="0"/>
        <v>4.166666985838674E-4</v>
      </c>
      <c r="E4" t="s">
        <v>14</v>
      </c>
      <c r="G4" s="1"/>
      <c r="H4" t="s">
        <v>29</v>
      </c>
      <c r="I4" t="s">
        <v>30</v>
      </c>
      <c r="J4" t="s">
        <v>17</v>
      </c>
      <c r="K4" t="s">
        <v>17</v>
      </c>
      <c r="L4" t="s">
        <v>31</v>
      </c>
      <c r="M4" t="s">
        <v>32</v>
      </c>
      <c r="N4" t="s">
        <v>33</v>
      </c>
      <c r="O4" t="s">
        <v>34</v>
      </c>
      <c r="P4" s="4" t="str">
        <f>H4</f>
        <v>A few times a month</v>
      </c>
      <c r="Q4" s="4">
        <f t="shared" si="1"/>
        <v>3</v>
      </c>
      <c r="R4" s="4" t="str">
        <f t="shared" si="3"/>
        <v>Discount on floral arrangements</v>
      </c>
      <c r="S4" s="4">
        <f t="shared" si="2"/>
        <v>2</v>
      </c>
    </row>
    <row r="5" spans="1:19">
      <c r="A5">
        <v>4</v>
      </c>
      <c r="B5" s="2">
        <v>46123.119398148148</v>
      </c>
      <c r="C5" s="2">
        <v>46123.119837963</v>
      </c>
      <c r="D5" s="3">
        <f t="shared" si="0"/>
        <v>4.3981485214317217E-4</v>
      </c>
      <c r="E5" t="s">
        <v>14</v>
      </c>
      <c r="G5" s="1"/>
      <c r="H5" t="s">
        <v>35</v>
      </c>
      <c r="I5" t="s">
        <v>16</v>
      </c>
      <c r="J5" t="s">
        <v>24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s="4" t="str">
        <f>H5</f>
        <v>Once A Week</v>
      </c>
      <c r="Q5" s="4">
        <f t="shared" si="1"/>
        <v>1</v>
      </c>
      <c r="R5" s="4" t="str">
        <f>M5</f>
        <v>Bundle Deals</v>
      </c>
      <c r="S5" s="4">
        <f t="shared" si="2"/>
        <v>2</v>
      </c>
    </row>
    <row r="6" spans="1:19">
      <c r="A6">
        <v>5</v>
      </c>
      <c r="B6" s="2">
        <v>46123.120069444398</v>
      </c>
      <c r="C6" s="2">
        <v>46123.120439814797</v>
      </c>
      <c r="D6" s="3">
        <f t="shared" si="0"/>
        <v>3.7037039874121547E-4</v>
      </c>
      <c r="E6" t="s">
        <v>14</v>
      </c>
      <c r="G6" s="1"/>
      <c r="H6" t="s">
        <v>29</v>
      </c>
      <c r="I6" t="s">
        <v>41</v>
      </c>
      <c r="J6" t="s">
        <v>24</v>
      </c>
      <c r="K6" t="s">
        <v>36</v>
      </c>
      <c r="L6" t="s">
        <v>42</v>
      </c>
      <c r="M6" t="s">
        <v>19</v>
      </c>
      <c r="N6" t="s">
        <v>20</v>
      </c>
      <c r="O6" t="s">
        <v>43</v>
      </c>
      <c r="P6" s="4"/>
      <c r="Q6" s="4"/>
      <c r="R6" s="4" t="s">
        <v>45</v>
      </c>
      <c r="S6" s="4">
        <f t="shared" si="2"/>
        <v>1</v>
      </c>
    </row>
    <row r="7" spans="1:19">
      <c r="A7">
        <v>6</v>
      </c>
      <c r="B7" s="2">
        <v>46123.120092592602</v>
      </c>
      <c r="C7" s="2">
        <v>46123.120810185203</v>
      </c>
      <c r="D7" s="3">
        <f t="shared" si="0"/>
        <v>7.1759260026738048E-4</v>
      </c>
      <c r="E7" t="s">
        <v>14</v>
      </c>
      <c r="G7" s="1"/>
      <c r="H7" t="s">
        <v>15</v>
      </c>
      <c r="I7" t="s">
        <v>44</v>
      </c>
      <c r="J7" t="s">
        <v>17</v>
      </c>
      <c r="K7" t="s">
        <v>17</v>
      </c>
      <c r="L7" t="s">
        <v>25</v>
      </c>
      <c r="M7" t="s">
        <v>45</v>
      </c>
      <c r="N7" t="s">
        <v>20</v>
      </c>
      <c r="O7" t="s">
        <v>46</v>
      </c>
      <c r="P7" s="4"/>
      <c r="Q7" s="4"/>
      <c r="R7" s="4"/>
      <c r="S7" s="4"/>
    </row>
    <row r="8" spans="1:19">
      <c r="A8">
        <v>7</v>
      </c>
      <c r="B8" s="2">
        <v>46123.120937500003</v>
      </c>
      <c r="C8" s="2">
        <v>46123.121226851901</v>
      </c>
      <c r="D8" s="3">
        <f t="shared" si="0"/>
        <v>2.8935189766343683E-4</v>
      </c>
      <c r="E8" t="s">
        <v>14</v>
      </c>
      <c r="G8" s="1"/>
      <c r="H8" t="s">
        <v>29</v>
      </c>
      <c r="I8" t="s">
        <v>47</v>
      </c>
      <c r="J8" t="s">
        <v>17</v>
      </c>
      <c r="K8" t="s">
        <v>17</v>
      </c>
      <c r="L8" t="s">
        <v>37</v>
      </c>
      <c r="M8" t="s">
        <v>38</v>
      </c>
      <c r="N8" t="s">
        <v>27</v>
      </c>
      <c r="O8" t="s">
        <v>48</v>
      </c>
      <c r="P8" s="4"/>
      <c r="Q8" s="4"/>
      <c r="R8" s="4"/>
      <c r="S8" s="4"/>
    </row>
    <row r="9" spans="1:19">
      <c r="A9">
        <v>8</v>
      </c>
      <c r="B9" s="2">
        <v>46123.120960648099</v>
      </c>
      <c r="C9" s="2">
        <v>46123.121724536999</v>
      </c>
      <c r="D9" s="3">
        <f t="shared" si="0"/>
        <v>7.6388890011003241E-4</v>
      </c>
      <c r="E9" t="s">
        <v>14</v>
      </c>
      <c r="G9" s="1"/>
      <c r="H9" t="s">
        <v>22</v>
      </c>
      <c r="I9" t="s">
        <v>49</v>
      </c>
      <c r="J9" t="s">
        <v>36</v>
      </c>
      <c r="K9" t="s">
        <v>36</v>
      </c>
      <c r="L9" t="s">
        <v>31</v>
      </c>
      <c r="M9" t="s">
        <v>32</v>
      </c>
      <c r="N9" t="s">
        <v>33</v>
      </c>
      <c r="O9" t="s">
        <v>50</v>
      </c>
      <c r="P9" s="4"/>
      <c r="Q9" s="4"/>
      <c r="R9" s="4"/>
      <c r="S9" s="4"/>
    </row>
    <row r="10" spans="1:19">
      <c r="A10" s="4"/>
      <c r="C10" s="2"/>
      <c r="D10" s="3">
        <f>AVERAGE(D2:D9)</f>
        <v>5.0202548118249979E-4</v>
      </c>
      <c r="E10" s="4"/>
      <c r="F10" s="4"/>
      <c r="G10" s="1"/>
      <c r="H10" s="4"/>
      <c r="I10" s="4"/>
      <c r="J10" s="4"/>
      <c r="K10" s="4"/>
      <c r="L10" s="4"/>
      <c r="M10" s="4"/>
      <c r="N10" s="4"/>
      <c r="O10" s="4"/>
    </row>
    <row r="17" spans="3:10">
      <c r="C17" s="6" t="s">
        <v>56</v>
      </c>
      <c r="D17" t="s">
        <v>58</v>
      </c>
      <c r="I17" s="6" t="s">
        <v>56</v>
      </c>
      <c r="J17" t="s">
        <v>58</v>
      </c>
    </row>
    <row r="18" spans="3:10">
      <c r="C18" s="7" t="s">
        <v>29</v>
      </c>
      <c r="D18" s="4">
        <v>3</v>
      </c>
      <c r="I18" s="7" t="s">
        <v>26</v>
      </c>
      <c r="J18" s="4">
        <v>1</v>
      </c>
    </row>
    <row r="19" spans="3:10">
      <c r="C19" s="7" t="s">
        <v>15</v>
      </c>
      <c r="D19" s="4">
        <v>2</v>
      </c>
      <c r="I19" s="7" t="s">
        <v>38</v>
      </c>
      <c r="J19" s="4">
        <v>2</v>
      </c>
    </row>
    <row r="20" spans="3:10">
      <c r="C20" s="7" t="s">
        <v>35</v>
      </c>
      <c r="D20" s="4">
        <v>1</v>
      </c>
      <c r="I20" s="7" t="s">
        <v>32</v>
      </c>
      <c r="J20" s="4">
        <v>2</v>
      </c>
    </row>
    <row r="21" spans="3:10">
      <c r="C21" s="7" t="s">
        <v>22</v>
      </c>
      <c r="D21" s="4">
        <v>2</v>
      </c>
      <c r="I21" s="7" t="s">
        <v>45</v>
      </c>
      <c r="J21" s="4">
        <v>1</v>
      </c>
    </row>
    <row r="22" spans="3:10">
      <c r="C22" s="7" t="s">
        <v>57</v>
      </c>
      <c r="D22" s="4">
        <v>8</v>
      </c>
      <c r="I22" s="7" t="s">
        <v>19</v>
      </c>
      <c r="J22" s="4">
        <v>2</v>
      </c>
    </row>
    <row r="23" spans="3:10">
      <c r="I23" s="7" t="s">
        <v>57</v>
      </c>
      <c r="J23" s="4">
        <v>8</v>
      </c>
    </row>
  </sheetData>
  <pageMargins left="0.7" right="0.7" top="0.75" bottom="0.75" header="0.3" footer="0.3"/>
  <pageSetup paperSize="9" orientation="portrait" r:id="rId3"/>
  <ignoredErrors>
    <ignoredError sqref="R6" calculatedColumn="1"/>
  </ignoredErrors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 ramirez</cp:lastModifiedBy>
  <dcterms:created xsi:type="dcterms:W3CDTF">2026-04-12T20:18:11Z</dcterms:created>
  <dcterms:modified xsi:type="dcterms:W3CDTF">2026-04-12T22:04:47Z</dcterms:modified>
</cp:coreProperties>
</file>