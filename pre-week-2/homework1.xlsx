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ramirez\Documents\DataAnalytics\pre-week-2\"/>
    </mc:Choice>
  </mc:AlternateContent>
  <xr:revisionPtr revIDLastSave="0" documentId="8_{59E19A7E-D573-4849-9E8A-D38446A56F47}" xr6:coauthVersionLast="47" xr6:coauthVersionMax="47" xr10:uidLastSave="{00000000-0000-0000-0000-000000000000}"/>
  <bookViews>
    <workbookView xWindow="3120" yWindow="3120" windowWidth="21600" windowHeight="12585" activeTab="1" xr2:uid="{A2422C35-CD33-4D74-8BEB-AA9B830BA587}"/>
  </bookViews>
  <sheets>
    <sheet name="Store_Data" sheetId="1" r:id="rId1"/>
    <sheet name="Store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16" i="1"/>
  <c r="B15" i="1"/>
</calcChain>
</file>

<file path=xl/sharedStrings.xml><?xml version="1.0" encoding="utf-8"?>
<sst xmlns="http://schemas.openxmlformats.org/spreadsheetml/2006/main" count="31" uniqueCount="31">
  <si>
    <t>Store</t>
  </si>
  <si>
    <t>Monthly Sales</t>
  </si>
  <si>
    <t>Store A</t>
  </si>
  <si>
    <t xml:space="preserve"> </t>
  </si>
  <si>
    <t>Store B</t>
  </si>
  <si>
    <t>Store C</t>
  </si>
  <si>
    <t>Store D</t>
  </si>
  <si>
    <t>Store E</t>
  </si>
  <si>
    <t>Store F</t>
  </si>
  <si>
    <t>Store G</t>
  </si>
  <si>
    <t>Store H</t>
  </si>
  <si>
    <t xml:space="preserve">Store I </t>
  </si>
  <si>
    <t>Store J</t>
  </si>
  <si>
    <t>Store K</t>
  </si>
  <si>
    <t>Store L</t>
  </si>
  <si>
    <t>Mean</t>
  </si>
  <si>
    <t>Median</t>
  </si>
  <si>
    <t>Mode</t>
  </si>
  <si>
    <t>Range</t>
  </si>
  <si>
    <t>Standard Deviation (ALL STORES)</t>
  </si>
  <si>
    <t>Standard Deviation (NO H)</t>
  </si>
  <si>
    <t>The average monthly sales across all 12 stores is approximately 49.42.</t>
  </si>
  <si>
    <t>Overall Average</t>
  </si>
  <si>
    <t>The median of 47.5 is lower than the mean, suggesting that a high value is pulling the average up.</t>
  </si>
  <si>
    <t>Median Comparison</t>
  </si>
  <si>
    <t>More stores perform between 43 and 52, showing relatively consistent performance when excluding the outliers.</t>
  </si>
  <si>
    <t>Consistency</t>
  </si>
  <si>
    <t>Store H at 72 significantl influences the mean, range and standard deviation. Removing it would drop from 7.58 to 2.91.</t>
  </si>
  <si>
    <t>Impact</t>
  </si>
  <si>
    <t xml:space="preserve">In conclusion, the spike in store H is very unusual and I would like to know what caused it. </t>
  </si>
  <si>
    <t>Additional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</si>
</sst>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BE744-89FF-432B-BE87-350F3F5E34BB}">
  <dimension ref="A1:C20"/>
  <sheetViews>
    <sheetView workbookViewId="0"/>
  </sheetViews>
  <sheetFormatPr defaultRowHeight="15" x14ac:dyDescent="0.25"/>
  <cols>
    <col min="1" max="1" width="30.140625" bestFit="1" customWidth="1"/>
    <col min="2" max="2" width="13.28515625" bestFit="1" customWidth="1"/>
    <col min="3" max="3" width="9.140625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>
        <v>51</v>
      </c>
      <c r="C2" t="s">
        <v>3</v>
      </c>
    </row>
    <row r="3" spans="1:3" x14ac:dyDescent="0.25">
      <c r="A3" t="s">
        <v>4</v>
      </c>
      <c r="B3">
        <v>44</v>
      </c>
    </row>
    <row r="4" spans="1:3" x14ac:dyDescent="0.25">
      <c r="A4" t="s">
        <v>5</v>
      </c>
      <c r="B4">
        <v>49</v>
      </c>
    </row>
    <row r="5" spans="1:3" x14ac:dyDescent="0.25">
      <c r="A5" t="s">
        <v>6</v>
      </c>
      <c r="B5">
        <v>46</v>
      </c>
    </row>
    <row r="6" spans="1:3" x14ac:dyDescent="0.25">
      <c r="A6" t="s">
        <v>7</v>
      </c>
      <c r="B6">
        <v>52</v>
      </c>
    </row>
    <row r="7" spans="1:3" x14ac:dyDescent="0.25">
      <c r="A7" t="s">
        <v>8</v>
      </c>
      <c r="B7">
        <v>47</v>
      </c>
    </row>
    <row r="8" spans="1:3" x14ac:dyDescent="0.25">
      <c r="A8" t="s">
        <v>9</v>
      </c>
      <c r="B8">
        <v>45</v>
      </c>
    </row>
    <row r="9" spans="1:3" x14ac:dyDescent="0.25">
      <c r="A9" t="s">
        <v>10</v>
      </c>
      <c r="B9">
        <v>72</v>
      </c>
    </row>
    <row r="10" spans="1:3" x14ac:dyDescent="0.25">
      <c r="A10" t="s">
        <v>11</v>
      </c>
      <c r="B10">
        <v>43</v>
      </c>
    </row>
    <row r="11" spans="1:3" x14ac:dyDescent="0.25">
      <c r="A11" t="s">
        <v>12</v>
      </c>
      <c r="B11">
        <v>48</v>
      </c>
    </row>
    <row r="12" spans="1:3" x14ac:dyDescent="0.25">
      <c r="A12" t="s">
        <v>13</v>
      </c>
      <c r="B12">
        <v>46</v>
      </c>
    </row>
    <row r="13" spans="1:3" x14ac:dyDescent="0.25">
      <c r="A13" t="s">
        <v>14</v>
      </c>
      <c r="B13">
        <v>50</v>
      </c>
    </row>
    <row r="15" spans="1:3" x14ac:dyDescent="0.25">
      <c r="A15" t="s">
        <v>15</v>
      </c>
      <c r="B15">
        <f>AVERAGE(B2:B13)</f>
        <v>49.416666666666664</v>
      </c>
    </row>
    <row r="16" spans="1:3" x14ac:dyDescent="0.25">
      <c r="A16" t="s">
        <v>16</v>
      </c>
      <c r="B16">
        <f>MEDIAN(B2:B13)</f>
        <v>47.5</v>
      </c>
    </row>
    <row r="17" spans="1:2" x14ac:dyDescent="0.25">
      <c r="A17" t="s">
        <v>17</v>
      </c>
      <c r="B17">
        <f>_xlfn.MODE.SNGL(B2:B13)</f>
        <v>46</v>
      </c>
    </row>
    <row r="18" spans="1:2" x14ac:dyDescent="0.25">
      <c r="A18" t="s">
        <v>18</v>
      </c>
      <c r="B18">
        <f>MAX(B2:B13)-MIN(B2:B13)</f>
        <v>29</v>
      </c>
    </row>
    <row r="19" spans="1:2" x14ac:dyDescent="0.25">
      <c r="A19" t="s">
        <v>19</v>
      </c>
      <c r="B19">
        <f>_xlfn.STDEV.S(B2:B13)</f>
        <v>7.6331613054586773</v>
      </c>
    </row>
    <row r="20" spans="1:2" x14ac:dyDescent="0.25">
      <c r="A20" t="s">
        <v>20</v>
      </c>
      <c r="B20">
        <f>_xlfn.STDEV.S(B2:B8,B10:B13)</f>
        <v>2.9076701075853588</v>
      </c>
    </row>
  </sheetData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2B063-7477-41D5-9B23-B98A283FEF59}">
  <dimension ref="A1:B5"/>
  <sheetViews>
    <sheetView tabSelected="1" workbookViewId="0"/>
  </sheetViews>
  <sheetFormatPr defaultRowHeight="15" x14ac:dyDescent="0.25"/>
  <cols>
    <col min="1" max="1" width="107.140625" bestFit="1" customWidth="1"/>
    <col min="2" max="2" width="19.140625" bestFit="1" customWidth="1"/>
    <col min="3" max="3" width="9.140625" customWidth="1"/>
  </cols>
  <sheetData>
    <row r="1" spans="1:2" x14ac:dyDescent="0.25">
      <c r="A1" t="s">
        <v>21</v>
      </c>
      <c r="B1" t="s">
        <v>22</v>
      </c>
    </row>
    <row r="2" spans="1:2" x14ac:dyDescent="0.25">
      <c r="A2" t="s">
        <v>23</v>
      </c>
      <c r="B2" t="s">
        <v>24</v>
      </c>
    </row>
    <row r="3" spans="1:2" x14ac:dyDescent="0.25">
      <c r="A3" t="s">
        <v>25</v>
      </c>
      <c r="B3" t="s">
        <v>26</v>
      </c>
    </row>
    <row r="4" spans="1:2" x14ac:dyDescent="0.25">
      <c r="A4" t="s">
        <v>27</v>
      </c>
      <c r="B4" t="s">
        <v>28</v>
      </c>
    </row>
    <row r="5" spans="1:2" x14ac:dyDescent="0.25">
      <c r="A5" t="s">
        <v>29</v>
      </c>
      <c r="B5" t="s">
        <v>30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 ramirez</dc:creator>
  <cp:lastModifiedBy>cris ramirez</cp:lastModifiedBy>
  <dcterms:created xsi:type="dcterms:W3CDTF">2026-03-26T20:11:16Z</dcterms:created>
  <dcterms:modified xsi:type="dcterms:W3CDTF">2026-03-26T23:48:04Z</dcterms:modified>
</cp:coreProperties>
</file>